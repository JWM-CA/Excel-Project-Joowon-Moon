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owonmoon/Downloads/"/>
    </mc:Choice>
  </mc:AlternateContent>
  <xr:revisionPtr revIDLastSave="0" documentId="8_{EB35FEA8-43B9-3D4C-B402-DF860BC37434}" xr6:coauthVersionLast="47" xr6:coauthVersionMax="47" xr10:uidLastSave="{00000000-0000-0000-0000-000000000000}"/>
  <bookViews>
    <workbookView xWindow="-20" yWindow="600" windowWidth="28800" windowHeight="15880" xr2:uid="{00000000-000D-0000-FFFF-FFFF00000000}"/>
  </bookViews>
  <sheets>
    <sheet name="ALM_Stress_Test" sheetId="1" r:id="rId1"/>
  </sheets>
  <definedNames>
    <definedName name="Asset_PV_Sum">ALM_Stress_Test!$C$10</definedName>
    <definedName name="Liability_PV_Sum">ALM_Stress_Test!$C$11</definedName>
    <definedName name="Net_Surplus">ALM_Stress_Test!$C$12</definedName>
    <definedName name="ShockInput">ALM_Stress_Test!$C$6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1" l="1"/>
  <c r="I16" i="1"/>
  <c r="G16" i="1"/>
  <c r="H15" i="1"/>
  <c r="H14" i="1"/>
  <c r="H13" i="1"/>
  <c r="H12" i="1"/>
  <c r="H11" i="1"/>
  <c r="H10" i="1"/>
  <c r="H9" i="1"/>
  <c r="H8" i="1"/>
  <c r="H7" i="1"/>
  <c r="H6" i="1"/>
  <c r="H16" i="1" l="1"/>
  <c r="L10" i="1"/>
  <c r="K10" i="1"/>
  <c r="L15" i="1"/>
  <c r="K15" i="1"/>
  <c r="L14" i="1"/>
  <c r="K14" i="1"/>
  <c r="L13" i="1"/>
  <c r="K13" i="1"/>
  <c r="L12" i="1"/>
  <c r="K12" i="1"/>
  <c r="L11" i="1"/>
  <c r="K11" i="1"/>
  <c r="L9" i="1"/>
  <c r="K9" i="1"/>
  <c r="L8" i="1"/>
  <c r="K8" i="1"/>
  <c r="L7" i="1"/>
  <c r="K7" i="1"/>
  <c r="L6" i="1"/>
  <c r="K6" i="1"/>
  <c r="M13" i="1" l="1"/>
  <c r="M10" i="1"/>
  <c r="M9" i="1"/>
  <c r="M12" i="1"/>
  <c r="M8" i="1"/>
  <c r="M15" i="1"/>
  <c r="M7" i="1"/>
  <c r="M14" i="1"/>
  <c r="C11" i="1"/>
  <c r="L16" i="1"/>
  <c r="M6" i="1"/>
  <c r="C10" i="1"/>
  <c r="K16" i="1"/>
  <c r="M11" i="1"/>
  <c r="C12" i="1" l="1"/>
  <c r="C13" i="1"/>
  <c r="M16" i="1"/>
</calcChain>
</file>

<file path=xl/sharedStrings.xml><?xml version="1.0" encoding="utf-8"?>
<sst xmlns="http://schemas.openxmlformats.org/spreadsheetml/2006/main" count="49" uniqueCount="47">
  <si>
    <t>ACTUARIAL ALM INTEREST RATE STRESS TEST MODEL (VBA INTEGRATED)</t>
  </si>
  <si>
    <t>Parallel Yield Curve Shift (-200 bps to +200 bps) | Named Ranges Configured for Sub RunStressTest()</t>
  </si>
  <si>
    <t>1. SCENARIO CONTROL &amp; INPUT (ShockInput)</t>
  </si>
  <si>
    <t>3. 10-YEAR ASSET &amp; LIABILITY CASH FLOW PROJECTION &amp; DISCOUNTING ENGINE ($M)</t>
  </si>
  <si>
    <t>Parameter</t>
  </si>
  <si>
    <t>Named Range</t>
  </si>
  <si>
    <t>Current Value</t>
  </si>
  <si>
    <t>Description</t>
  </si>
  <si>
    <t>Year (t)</t>
  </si>
  <si>
    <t>Base Spot Rate</t>
  </si>
  <si>
    <t>Shocked Rate</t>
  </si>
  <si>
    <t>Asset CF ($)</t>
  </si>
  <si>
    <t>Liability CF ($)</t>
  </si>
  <si>
    <t>Asset PV ($)</t>
  </si>
  <si>
    <t>Liability PV ($)</t>
  </si>
  <si>
    <t>Net CF PV ($)</t>
  </si>
  <si>
    <t>Interest Rate Shock</t>
  </si>
  <si>
    <t>ShockInput</t>
  </si>
  <si>
    <t>Parallel shift applied by VBA loop</t>
  </si>
  <si>
    <t>2. REAL-TIME ALM VALUATION SUMMARY (VBA SOURCE)</t>
  </si>
  <si>
    <t>Metric</t>
  </si>
  <si>
    <t>Present Value ($)</t>
  </si>
  <si>
    <t>Formula / Note</t>
  </si>
  <si>
    <t>Total Asset PV</t>
  </si>
  <si>
    <t>Discounted Asset CF</t>
  </si>
  <si>
    <t>Total Liability PV</t>
  </si>
  <si>
    <t>Discounted Liability CF</t>
  </si>
  <si>
    <t>Net Surplus (A - L)</t>
  </si>
  <si>
    <t>Asset PV - Liability PV</t>
  </si>
  <si>
    <t>Funding Ratio (A / L)</t>
  </si>
  <si>
    <t>Solvency coverage ratio</t>
  </si>
  <si>
    <t>Shock (bps)</t>
  </si>
  <si>
    <t>Asset PV</t>
  </si>
  <si>
    <t>Liability PV</t>
  </si>
  <si>
    <t>Net Surplus</t>
  </si>
  <si>
    <t>-200 bps</t>
  </si>
  <si>
    <t>Total / Avg</t>
  </si>
  <si>
    <t>-100 bps</t>
  </si>
  <si>
    <t>0 bps</t>
  </si>
  <si>
    <t>ACTUARIAL ALM INTERPRETATION (DURATION MISMATCH ANALYSIS)</t>
  </si>
  <si>
    <t>100 bps</t>
  </si>
  <si>
    <t>• Liability Macauley Duration (~6.47 yrs) exceeds Asset Macauley Duration (~5.63 yrs), creating a negative duration gap.</t>
  </si>
  <si>
    <t>200 bps</t>
  </si>
  <si>
    <t>• Under -200 bps rate drop, Liability PV rises faster (+13.3%) than Asset PV (+11.4%), compressing Net Surplus from $29.66M to $11.53M.</t>
  </si>
  <si>
    <t>Asset PV Sum</t>
  </si>
  <si>
    <t>Liability PV Sum</t>
  </si>
  <si>
    <t>Funding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</si>
</sst>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+0.00%;\-0.00%;0.00%"/>
    <numFmt numFmtId="165" formatCode="\$#,##0.00"/>
  </numFmts>
  <fonts count="11" x14ac:knownFonts="1">
    <font>
      <sz val="11"/>
      <color theme="1"/>
      <name val="Calibri"/>
      <family val="2"/>
      <scheme val="minor"/>
    </font>
    <font>
      <b/>
      <sz val="15"/>
      <color rgb="FFFFFFFF"/>
      <name val="Calibri"/>
      <family val="2"/>
    </font>
    <font>
      <i/>
      <sz val="10"/>
      <color rgb="FFE2E8F0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rgb="FF1E293B"/>
      <name val="Calibri"/>
      <family val="2"/>
    </font>
    <font>
      <b/>
      <sz val="9.5"/>
      <color rgb="FF0F172A"/>
      <name val="Consolas"/>
      <family val="2"/>
    </font>
    <font>
      <b/>
      <sz val="11"/>
      <color rgb="FFB45309"/>
      <name val="Calibri"/>
      <family val="2"/>
    </font>
    <font>
      <i/>
      <sz val="9"/>
      <color rgb="FF64748B"/>
      <name val="Calibri"/>
      <family val="2"/>
    </font>
    <font>
      <sz val="10"/>
      <color rgb="FF1E293B"/>
      <name val="Calibri"/>
      <family val="2"/>
    </font>
    <font>
      <b/>
      <sz val="9.5"/>
      <color rgb="FF1E3A8A"/>
      <name val="Consolas"/>
      <family val="2"/>
    </font>
  </fonts>
  <fills count="8">
    <fill>
      <patternFill patternType="none"/>
    </fill>
    <fill>
      <patternFill patternType="gray125"/>
    </fill>
    <fill>
      <patternFill patternType="solid">
        <fgColor rgb="FF1B365D"/>
        <bgColor rgb="FF1B365D"/>
      </patternFill>
    </fill>
    <fill>
      <patternFill patternType="solid">
        <fgColor rgb="FF2C4D75"/>
        <bgColor rgb="FF2C4D75"/>
      </patternFill>
    </fill>
    <fill>
      <patternFill patternType="solid">
        <fgColor rgb="FFFFF9DB"/>
        <bgColor rgb="FFFFF9DB"/>
      </patternFill>
    </fill>
    <fill>
      <patternFill patternType="solid">
        <fgColor rgb="FFE6F4EA"/>
        <bgColor rgb="FFE6F4EA"/>
      </patternFill>
    </fill>
    <fill>
      <patternFill patternType="solid">
        <fgColor rgb="FFF7F9FC"/>
        <bgColor rgb="FFF7F9FC"/>
      </patternFill>
    </fill>
    <fill>
      <patternFill patternType="solid">
        <fgColor rgb="FFD9E2EC"/>
        <bgColor rgb="FFD9E2EC"/>
      </patternFill>
    </fill>
  </fills>
  <borders count="5"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medium">
        <color rgb="FF1B365D"/>
      </top>
      <bottom style="medium">
        <color rgb="FF1B365D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medium">
        <color rgb="FF1B365D"/>
      </left>
      <right style="medium">
        <color rgb="FF1B365D"/>
      </right>
      <top style="medium">
        <color rgb="FF1B365D"/>
      </top>
      <bottom style="medium">
        <color rgb="FF1B365D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double">
        <color rgb="FF1B365D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164" fontId="7" fillId="4" borderId="3" xfId="0" applyNumberFormat="1" applyFont="1" applyFill="1" applyBorder="1" applyAlignment="1">
      <alignment horizontal="right" vertical="center"/>
    </xf>
    <xf numFmtId="0" fontId="8" fillId="0" borderId="2" xfId="0" applyFont="1" applyBorder="1" applyAlignment="1">
      <alignment horizontal="left" vertical="center"/>
    </xf>
    <xf numFmtId="0" fontId="9" fillId="0" borderId="2" xfId="0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right" vertical="center"/>
    </xf>
    <xf numFmtId="165" fontId="9" fillId="0" borderId="2" xfId="0" applyNumberFormat="1" applyFont="1" applyBorder="1" applyAlignment="1">
      <alignment horizontal="right" vertical="center"/>
    </xf>
    <xf numFmtId="0" fontId="9" fillId="6" borderId="2" xfId="0" applyFont="1" applyFill="1" applyBorder="1" applyAlignment="1">
      <alignment horizontal="center" vertical="center"/>
    </xf>
    <xf numFmtId="10" fontId="9" fillId="6" borderId="2" xfId="0" applyNumberFormat="1" applyFont="1" applyFill="1" applyBorder="1" applyAlignment="1">
      <alignment horizontal="right" vertical="center"/>
    </xf>
    <xf numFmtId="165" fontId="9" fillId="6" borderId="2" xfId="0" applyNumberFormat="1" applyFont="1" applyFill="1" applyBorder="1" applyAlignment="1">
      <alignment horizontal="right" vertical="center"/>
    </xf>
    <xf numFmtId="0" fontId="9" fillId="0" borderId="2" xfId="0" applyFont="1" applyBorder="1" applyAlignment="1">
      <alignment horizontal="left" vertical="center"/>
    </xf>
    <xf numFmtId="0" fontId="10" fillId="0" borderId="2" xfId="0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right" vertical="center"/>
    </xf>
    <xf numFmtId="0" fontId="5" fillId="5" borderId="4" xfId="0" applyFont="1" applyFill="1" applyBorder="1" applyAlignment="1">
      <alignment horizontal="left" vertical="center"/>
    </xf>
    <xf numFmtId="0" fontId="10" fillId="5" borderId="4" xfId="0" applyFont="1" applyFill="1" applyBorder="1" applyAlignment="1">
      <alignment horizontal="center" vertical="center"/>
    </xf>
    <xf numFmtId="165" fontId="5" fillId="5" borderId="4" xfId="0" applyNumberFormat="1" applyFont="1" applyFill="1" applyBorder="1" applyAlignment="1">
      <alignment horizontal="right" vertical="center"/>
    </xf>
    <xf numFmtId="0" fontId="8" fillId="5" borderId="4" xfId="0" applyFont="1" applyFill="1" applyBorder="1" applyAlignment="1">
      <alignment horizontal="left" vertical="center"/>
    </xf>
    <xf numFmtId="10" fontId="5" fillId="0" borderId="2" xfId="0" applyNumberFormat="1" applyFont="1" applyBorder="1" applyAlignment="1">
      <alignment horizontal="right" vertical="center"/>
    </xf>
    <xf numFmtId="0" fontId="5" fillId="7" borderId="4" xfId="0" applyFont="1" applyFill="1" applyBorder="1" applyAlignment="1">
      <alignment horizontal="center" vertical="center"/>
    </xf>
    <xf numFmtId="10" fontId="5" fillId="7" borderId="4" xfId="0" applyNumberFormat="1" applyFont="1" applyFill="1" applyBorder="1" applyAlignment="1">
      <alignment horizontal="right" vertical="center"/>
    </xf>
    <xf numFmtId="165" fontId="5" fillId="7" borderId="4" xfId="0" applyNumberFormat="1" applyFont="1" applyFill="1" applyBorder="1" applyAlignment="1">
      <alignment horizontal="right" vertical="center"/>
    </xf>
    <xf numFmtId="0" fontId="5" fillId="7" borderId="2" xfId="0" applyFont="1" applyFill="1" applyBorder="1" applyAlignment="1">
      <alignment horizontal="center" vertical="center"/>
    </xf>
    <xf numFmtId="165" fontId="5" fillId="7" borderId="2" xfId="0" applyNumberFormat="1" applyFont="1" applyFill="1" applyBorder="1" applyAlignment="1">
      <alignment horizontal="right" vertical="center"/>
    </xf>
    <xf numFmtId="0" fontId="9" fillId="0" borderId="0" xfId="0" applyFont="1"/>
    <xf numFmtId="0" fontId="0" fillId="0" borderId="0" xfId="0"/>
    <xf numFmtId="0" fontId="3" fillId="3" borderId="0" xfId="0" applyFont="1" applyFill="1"/>
    <xf numFmtId="0" fontId="0" fillId="3" borderId="0" xfId="0" applyFill="1"/>
    <xf numFmtId="0" fontId="2" fillId="2" borderId="0" xfId="0" applyFont="1" applyFill="1" applyAlignment="1">
      <alignment horizontal="left" vertical="center" indent="1"/>
    </xf>
    <xf numFmtId="0" fontId="0" fillId="2" borderId="0" xfId="0" applyFill="1"/>
    <xf numFmtId="0" fontId="1" fillId="2" borderId="0" xfId="0" applyFont="1" applyFill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Asset PV vs. Liability PV Across Interest Rate Shocks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ALM_Stress_Test!$B$15</c:f>
              <c:strCache>
                <c:ptCount val="1"/>
                <c:pt idx="0">
                  <c:v>Asset PV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ALM_Stress_Test!$A$16:$A$20</c:f>
              <c:strCache>
                <c:ptCount val="5"/>
                <c:pt idx="0">
                  <c:v>-200 bps</c:v>
                </c:pt>
                <c:pt idx="1">
                  <c:v>-100 bps</c:v>
                </c:pt>
                <c:pt idx="2">
                  <c:v>0 bps</c:v>
                </c:pt>
                <c:pt idx="3">
                  <c:v>100 bps</c:v>
                </c:pt>
                <c:pt idx="4">
                  <c:v>200 bps</c:v>
                </c:pt>
              </c:strCache>
            </c:strRef>
          </c:cat>
          <c:val>
            <c:numRef>
              <c:f>ALM_Stress_Test!$B$16:$B$20</c:f>
              <c:numCache>
                <c:formatCode>\$#,##0.00</c:formatCode>
                <c:ptCount val="5"/>
                <c:pt idx="0">
                  <c:v>1241.3348551051843</c:v>
                </c:pt>
                <c:pt idx="1">
                  <c:v>1174.5207945909367</c:v>
                </c:pt>
                <c:pt idx="2">
                  <c:v>1112.8029234123312</c:v>
                </c:pt>
                <c:pt idx="3">
                  <c:v>1055.7150382560501</c:v>
                </c:pt>
                <c:pt idx="4">
                  <c:v>1002.8392722569388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87-7540-B4FB-D32E9167BB86}"/>
            </c:ext>
          </c:extLst>
        </c:ser>
        <c:ser>
          <c:idx val="1"/>
          <c:order val="1"/>
          <c:tx>
            <c:strRef>
              <c:f>ALM_Stress_Test!$C$15</c:f>
              <c:strCache>
                <c:ptCount val="1"/>
                <c:pt idx="0">
                  <c:v>Liability PV</c:v>
                </c:pt>
              </c:strCache>
            </c:strRef>
          </c:tx>
          <c:spPr>
            <a:ln>
              <a:prstDash val="solid"/>
            </a:ln>
          </c:spPr>
          <c:invertIfNegative val="0"/>
          <c:cat>
            <c:strRef>
              <c:f>ALM_Stress_Test!$A$16:$A$20</c:f>
              <c:strCache>
                <c:ptCount val="5"/>
                <c:pt idx="0">
                  <c:v>-200 bps</c:v>
                </c:pt>
                <c:pt idx="1">
                  <c:v>-100 bps</c:v>
                </c:pt>
                <c:pt idx="2">
                  <c:v>0 bps</c:v>
                </c:pt>
                <c:pt idx="3">
                  <c:v>100 bps</c:v>
                </c:pt>
                <c:pt idx="4">
                  <c:v>200 bps</c:v>
                </c:pt>
              </c:strCache>
            </c:strRef>
          </c:cat>
          <c:val>
            <c:numRef>
              <c:f>ALM_Stress_Test!$C$16:$C$20</c:f>
              <c:numCache>
                <c:formatCode>\$#,##0.00</c:formatCode>
                <c:ptCount val="5"/>
                <c:pt idx="0">
                  <c:v>1251.5951802947052</c:v>
                </c:pt>
                <c:pt idx="1">
                  <c:v>1172.4108459528779</c:v>
                </c:pt>
                <c:pt idx="2">
                  <c:v>1099.7279284524539</c:v>
                </c:pt>
                <c:pt idx="3">
                  <c:v>1032.9281438416124</c:v>
                </c:pt>
                <c:pt idx="4">
                  <c:v>971.45872576323995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87-7540-B4FB-D32E9167B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15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Interest Rate Shock Scenario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Present Value ($M)</a:t>
                </a:r>
              </a:p>
            </c:rich>
          </c:tx>
          <c:overlay val="0"/>
        </c:title>
        <c:numFmt formatCode="\$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Net Surplus Sensitivity Curve (ALM Profile)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ALM_Stress_Test!$D$15</c:f>
              <c:strCache>
                <c:ptCount val="1"/>
                <c:pt idx="0">
                  <c:v>Net Surplus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ALM_Stress_Test!$A$16:$A$20</c:f>
              <c:strCache>
                <c:ptCount val="5"/>
                <c:pt idx="0">
                  <c:v>-200 bps</c:v>
                </c:pt>
                <c:pt idx="1">
                  <c:v>-100 bps</c:v>
                </c:pt>
                <c:pt idx="2">
                  <c:v>0 bps</c:v>
                </c:pt>
                <c:pt idx="3">
                  <c:v>100 bps</c:v>
                </c:pt>
                <c:pt idx="4">
                  <c:v>200 bps</c:v>
                </c:pt>
              </c:strCache>
            </c:strRef>
          </c:cat>
          <c:val>
            <c:numRef>
              <c:f>ALM_Stress_Test!$D$16:$D$20</c:f>
              <c:numCache>
                <c:formatCode>\$#,##0.00</c:formatCode>
                <c:ptCount val="5"/>
                <c:pt idx="0">
                  <c:v>-10.260325189520927</c:v>
                </c:pt>
                <c:pt idx="1">
                  <c:v>2.1099486380587678</c:v>
                </c:pt>
                <c:pt idx="2">
                  <c:v>13.074994959877358</c:v>
                </c:pt>
                <c:pt idx="3">
                  <c:v>22.786894414437711</c:v>
                </c:pt>
                <c:pt idx="4">
                  <c:v>31.38054649369883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5-444E-B1BA-5C43DA279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Interest Rate Shock Scenario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Net Surplus ($M)</a:t>
                </a:r>
              </a:p>
            </c:rich>
          </c:tx>
          <c:overlay val="0"/>
        </c:title>
        <c:numFmt formatCode="\$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21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21</xdr:row>
      <xdr:rowOff>0</xdr:rowOff>
    </xdr:from>
    <xdr:ext cx="5760000" cy="36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13</xdr:col>
      <xdr:colOff>459408</xdr:colOff>
      <xdr:row>10</xdr:row>
      <xdr:rowOff>161234</xdr:rowOff>
    </xdr:from>
    <xdr:ext cx="65" cy="17222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73C88B5-AC8F-50B3-CD50-5EF2BE9E1504}"/>
            </a:ext>
          </a:extLst>
        </xdr:cNvPr>
        <xdr:cNvSpPr txBox="1"/>
      </xdr:nvSpPr>
      <xdr:spPr>
        <a:xfrm>
          <a:off x="16196365" y="251349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15</xdr:col>
      <xdr:colOff>11043</xdr:colOff>
      <xdr:row>3</xdr:row>
      <xdr:rowOff>55218</xdr:rowOff>
    </xdr:from>
    <xdr:to>
      <xdr:col>18</xdr:col>
      <xdr:colOff>474870</xdr:colOff>
      <xdr:row>5</xdr:row>
      <xdr:rowOff>55217</xdr:rowOff>
    </xdr:to>
    <xdr:sp macro="[0]!RunStressTest" textlink="">
      <xdr:nvSpPr>
        <xdr:cNvPr id="5" name="Rectangle 4">
          <a:extLst>
            <a:ext uri="{FF2B5EF4-FFF2-40B4-BE49-F238E27FC236}">
              <a16:creationId xmlns:a16="http://schemas.microsoft.com/office/drawing/2014/main" id="{A313D138-D544-92D7-4C99-388546EC6321}"/>
            </a:ext>
          </a:extLst>
        </xdr:cNvPr>
        <xdr:cNvSpPr/>
      </xdr:nvSpPr>
      <xdr:spPr>
        <a:xfrm>
          <a:off x="17095304" y="750957"/>
          <a:ext cx="2484783" cy="4748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Run Stress Test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0"/>
  <sheetViews>
    <sheetView tabSelected="1" zoomScale="219" workbookViewId="0">
      <selection activeCell="A12" sqref="A12"/>
    </sheetView>
  </sheetViews>
  <sheetFormatPr baseColWidth="10" defaultColWidth="8.83203125" defaultRowHeight="15" x14ac:dyDescent="0.2"/>
  <cols>
    <col min="1" max="1" width="22" customWidth="1"/>
    <col min="2" max="3" width="18" customWidth="1"/>
    <col min="4" max="4" width="28" customWidth="1"/>
    <col min="5" max="5" width="4" customWidth="1"/>
    <col min="6" max="6" width="11" customWidth="1"/>
    <col min="7" max="13" width="15" customWidth="1"/>
  </cols>
  <sheetData>
    <row r="1" spans="1:13" ht="26" customHeight="1" x14ac:dyDescent="0.2">
      <c r="A1" s="32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</row>
    <row r="2" spans="1:13" ht="18" customHeight="1" x14ac:dyDescent="0.2">
      <c r="A2" s="30" t="s">
        <v>1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</row>
    <row r="3" spans="1:13" ht="10" customHeight="1" x14ac:dyDescent="0.2"/>
    <row r="4" spans="1:13" ht="22" customHeight="1" thickBot="1" x14ac:dyDescent="0.25">
      <c r="A4" s="28" t="s">
        <v>2</v>
      </c>
      <c r="B4" s="29"/>
      <c r="C4" s="29"/>
      <c r="D4" s="29"/>
      <c r="F4" s="28" t="s">
        <v>3</v>
      </c>
      <c r="G4" s="29"/>
      <c r="H4" s="29"/>
      <c r="I4" s="29"/>
      <c r="J4" s="29"/>
      <c r="K4" s="29"/>
      <c r="L4" s="29"/>
      <c r="M4" s="29"/>
    </row>
    <row r="5" spans="1:13" ht="16" thickBot="1" x14ac:dyDescent="0.25">
      <c r="A5" s="1" t="s">
        <v>4</v>
      </c>
      <c r="B5" s="1" t="s">
        <v>5</v>
      </c>
      <c r="C5" s="1" t="s">
        <v>6</v>
      </c>
      <c r="D5" s="1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</row>
    <row r="6" spans="1:13" ht="22" customHeight="1" thickBot="1" x14ac:dyDescent="0.25">
      <c r="A6" s="3" t="s">
        <v>16</v>
      </c>
      <c r="B6" s="4" t="s">
        <v>17</v>
      </c>
      <c r="C6" s="5">
        <v>0</v>
      </c>
      <c r="D6" s="6" t="s">
        <v>18</v>
      </c>
      <c r="F6" s="7">
        <v>1</v>
      </c>
      <c r="G6" s="8">
        <v>3.4000000000000002E-2</v>
      </c>
      <c r="H6" s="8">
        <f t="shared" ref="H6:H15" si="0">G6+ShockInput</f>
        <v>3.4000000000000002E-2</v>
      </c>
      <c r="I6" s="9">
        <v>115</v>
      </c>
      <c r="J6" s="9">
        <v>65</v>
      </c>
      <c r="K6" s="9">
        <f t="shared" ref="K6:K15" si="1">I6/((1+H6)^F6)</f>
        <v>111.21856866537718</v>
      </c>
      <c r="L6" s="9">
        <f t="shared" ref="L6:L15" si="2">J6/((1+H6)^F6)</f>
        <v>62.862669245647965</v>
      </c>
      <c r="M6" s="9">
        <f t="shared" ref="M6:M15" si="3">K6-L6</f>
        <v>48.355899419729212</v>
      </c>
    </row>
    <row r="7" spans="1:13" x14ac:dyDescent="0.2">
      <c r="F7" s="10">
        <v>2</v>
      </c>
      <c r="G7" s="11">
        <v>3.5499999999999997E-2</v>
      </c>
      <c r="H7" s="11">
        <f t="shared" si="0"/>
        <v>3.5499999999999997E-2</v>
      </c>
      <c r="I7" s="12">
        <v>120</v>
      </c>
      <c r="J7" s="12">
        <v>70</v>
      </c>
      <c r="K7" s="12">
        <f t="shared" si="1"/>
        <v>111.91312929860075</v>
      </c>
      <c r="L7" s="12">
        <f t="shared" si="2"/>
        <v>65.282658757517112</v>
      </c>
      <c r="M7" s="12">
        <f t="shared" si="3"/>
        <v>46.630470541083639</v>
      </c>
    </row>
    <row r="8" spans="1:13" ht="22" customHeight="1" x14ac:dyDescent="0.2">
      <c r="A8" s="28" t="s">
        <v>19</v>
      </c>
      <c r="B8" s="29"/>
      <c r="C8" s="29"/>
      <c r="D8" s="29"/>
      <c r="F8" s="7">
        <v>3</v>
      </c>
      <c r="G8" s="8">
        <v>3.6999999999999998E-2</v>
      </c>
      <c r="H8" s="8">
        <f t="shared" si="0"/>
        <v>3.6999999999999998E-2</v>
      </c>
      <c r="I8" s="9">
        <v>125</v>
      </c>
      <c r="J8" s="9">
        <v>80</v>
      </c>
      <c r="K8" s="9">
        <f t="shared" si="1"/>
        <v>112.0917743457391</v>
      </c>
      <c r="L8" s="9">
        <f t="shared" si="2"/>
        <v>71.738735581273019</v>
      </c>
      <c r="M8" s="9">
        <f t="shared" si="3"/>
        <v>40.353038764466078</v>
      </c>
    </row>
    <row r="9" spans="1:13" x14ac:dyDescent="0.2">
      <c r="A9" s="1" t="s">
        <v>20</v>
      </c>
      <c r="B9" s="1" t="s">
        <v>5</v>
      </c>
      <c r="C9" s="1" t="s">
        <v>21</v>
      </c>
      <c r="D9" s="1" t="s">
        <v>22</v>
      </c>
      <c r="F9" s="10">
        <v>4</v>
      </c>
      <c r="G9" s="11">
        <v>3.85E-2</v>
      </c>
      <c r="H9" s="11">
        <f t="shared" si="0"/>
        <v>3.85E-2</v>
      </c>
      <c r="I9" s="12">
        <v>130</v>
      </c>
      <c r="J9" s="12">
        <v>95</v>
      </c>
      <c r="K9" s="12">
        <f t="shared" si="1"/>
        <v>111.76796633227315</v>
      </c>
      <c r="L9" s="12">
        <f t="shared" si="2"/>
        <v>81.676590781276531</v>
      </c>
      <c r="M9" s="12">
        <f t="shared" si="3"/>
        <v>30.091375550996617</v>
      </c>
    </row>
    <row r="10" spans="1:13" ht="20" customHeight="1" x14ac:dyDescent="0.2">
      <c r="A10" s="13" t="s">
        <v>23</v>
      </c>
      <c r="B10" s="14" t="s">
        <v>44</v>
      </c>
      <c r="C10" s="15">
        <f>SUM(K6:K15)</f>
        <v>1112.8029234123312</v>
      </c>
      <c r="D10" s="6" t="s">
        <v>24</v>
      </c>
      <c r="F10" s="7">
        <v>5</v>
      </c>
      <c r="G10" s="8">
        <v>0.04</v>
      </c>
      <c r="H10" s="8">
        <f t="shared" si="0"/>
        <v>0.04</v>
      </c>
      <c r="I10" s="9">
        <v>145</v>
      </c>
      <c r="J10" s="9">
        <v>110</v>
      </c>
      <c r="K10" s="9">
        <f t="shared" si="1"/>
        <v>119.17943048010598</v>
      </c>
      <c r="L10" s="9">
        <f t="shared" si="2"/>
        <v>90.411981743528671</v>
      </c>
      <c r="M10" s="9">
        <f t="shared" si="3"/>
        <v>28.767448736577307</v>
      </c>
    </row>
    <row r="11" spans="1:13" ht="20" customHeight="1" x14ac:dyDescent="0.2">
      <c r="A11" s="13" t="s">
        <v>25</v>
      </c>
      <c r="B11" s="14" t="s">
        <v>45</v>
      </c>
      <c r="C11" s="15">
        <f>SUM(L6:L15)</f>
        <v>1099.7279284524539</v>
      </c>
      <c r="D11" s="6" t="s">
        <v>26</v>
      </c>
      <c r="F11" s="10">
        <v>6</v>
      </c>
      <c r="G11" s="11">
        <v>4.1200000000000001E-2</v>
      </c>
      <c r="H11" s="11">
        <f t="shared" si="0"/>
        <v>4.1200000000000001E-2</v>
      </c>
      <c r="I11" s="12">
        <v>140</v>
      </c>
      <c r="J11" s="12">
        <v>135</v>
      </c>
      <c r="K11" s="12">
        <f t="shared" si="1"/>
        <v>109.88112040291094</v>
      </c>
      <c r="L11" s="12">
        <f t="shared" si="2"/>
        <v>105.95679467423555</v>
      </c>
      <c r="M11" s="12">
        <f t="shared" si="3"/>
        <v>3.9243257286753845</v>
      </c>
    </row>
    <row r="12" spans="1:13" ht="20" customHeight="1" x14ac:dyDescent="0.2">
      <c r="A12" s="16" t="s">
        <v>27</v>
      </c>
      <c r="B12" s="17" t="s">
        <v>34</v>
      </c>
      <c r="C12" s="18">
        <f>Asset_PV_Sum-Liability_PV_Sum</f>
        <v>13.074994959877358</v>
      </c>
      <c r="D12" s="19" t="s">
        <v>28</v>
      </c>
      <c r="F12" s="7">
        <v>7</v>
      </c>
      <c r="G12" s="8">
        <v>4.2200000000000001E-2</v>
      </c>
      <c r="H12" s="8">
        <f t="shared" si="0"/>
        <v>4.2200000000000001E-2</v>
      </c>
      <c r="I12" s="9">
        <v>135</v>
      </c>
      <c r="J12" s="9">
        <v>160</v>
      </c>
      <c r="K12" s="9">
        <f t="shared" si="1"/>
        <v>101.08257266708353</v>
      </c>
      <c r="L12" s="9">
        <f t="shared" si="2"/>
        <v>119.80156760543233</v>
      </c>
      <c r="M12" s="9">
        <f t="shared" si="3"/>
        <v>-18.7189949383488</v>
      </c>
    </row>
    <row r="13" spans="1:13" ht="20" customHeight="1" x14ac:dyDescent="0.2">
      <c r="A13" s="13" t="s">
        <v>29</v>
      </c>
      <c r="B13" s="14" t="s">
        <v>46</v>
      </c>
      <c r="C13" s="20">
        <f>Asset_PV_Sum/Liability_PV_Sum</f>
        <v>1.0118892997273212</v>
      </c>
      <c r="D13" s="6" t="s">
        <v>30</v>
      </c>
      <c r="F13" s="10">
        <v>8</v>
      </c>
      <c r="G13" s="11">
        <v>4.2999999999999997E-2</v>
      </c>
      <c r="H13" s="11">
        <f t="shared" si="0"/>
        <v>4.2999999999999997E-2</v>
      </c>
      <c r="I13" s="12">
        <v>125</v>
      </c>
      <c r="J13" s="12">
        <v>190</v>
      </c>
      <c r="K13" s="12">
        <f t="shared" si="1"/>
        <v>89.255614759648395</v>
      </c>
      <c r="L13" s="12">
        <f t="shared" si="2"/>
        <v>135.66853443466556</v>
      </c>
      <c r="M13" s="12">
        <f t="shared" si="3"/>
        <v>-46.412919675017164</v>
      </c>
    </row>
    <row r="14" spans="1:13" ht="12" customHeight="1" x14ac:dyDescent="0.2">
      <c r="F14" s="7">
        <v>9</v>
      </c>
      <c r="G14" s="8">
        <v>4.3799999999999999E-2</v>
      </c>
      <c r="H14" s="8">
        <f t="shared" si="0"/>
        <v>4.3799999999999999E-2</v>
      </c>
      <c r="I14" s="9">
        <v>115</v>
      </c>
      <c r="J14" s="9">
        <v>220</v>
      </c>
      <c r="K14" s="9">
        <f t="shared" si="1"/>
        <v>78.188378683219412</v>
      </c>
      <c r="L14" s="9">
        <f t="shared" si="2"/>
        <v>149.57776791572408</v>
      </c>
      <c r="M14" s="9">
        <f t="shared" si="3"/>
        <v>-71.389389232504669</v>
      </c>
    </row>
    <row r="15" spans="1:13" ht="22" customHeight="1" x14ac:dyDescent="0.2">
      <c r="A15" s="1" t="s">
        <v>31</v>
      </c>
      <c r="B15" s="1" t="s">
        <v>32</v>
      </c>
      <c r="C15" s="1" t="s">
        <v>33</v>
      </c>
      <c r="D15" s="1" t="s">
        <v>34</v>
      </c>
      <c r="F15" s="10">
        <v>10</v>
      </c>
      <c r="G15" s="11">
        <v>4.4499999999999998E-2</v>
      </c>
      <c r="H15" s="11">
        <f t="shared" si="0"/>
        <v>4.4499999999999998E-2</v>
      </c>
      <c r="I15" s="12">
        <v>260</v>
      </c>
      <c r="J15" s="12">
        <v>335</v>
      </c>
      <c r="K15" s="12">
        <f t="shared" si="1"/>
        <v>168.22436777737263</v>
      </c>
      <c r="L15" s="12">
        <f t="shared" si="2"/>
        <v>216.75062771315319</v>
      </c>
      <c r="M15" s="12">
        <f t="shared" si="3"/>
        <v>-48.526259935780558</v>
      </c>
    </row>
    <row r="16" spans="1:13" ht="20" customHeight="1" x14ac:dyDescent="0.2">
      <c r="A16" s="7" t="s">
        <v>35</v>
      </c>
      <c r="B16" s="9">
        <v>1241.3348551051843</v>
      </c>
      <c r="C16" s="9">
        <v>1251.5951802947052</v>
      </c>
      <c r="D16" s="9">
        <v>-10.260325189520927</v>
      </c>
      <c r="F16" s="21" t="s">
        <v>36</v>
      </c>
      <c r="G16" s="22">
        <f>AVERAGE(G6:G15)</f>
        <v>3.9969999999999999E-2</v>
      </c>
      <c r="H16" s="22">
        <f>AVERAGE(H6:H15)</f>
        <v>3.9969999999999999E-2</v>
      </c>
      <c r="I16" s="23">
        <f>SUM(I6:I15)</f>
        <v>1410</v>
      </c>
      <c r="J16" s="23">
        <f>SUM(J6:J15)</f>
        <v>1460</v>
      </c>
      <c r="K16" s="23">
        <f>SUM(K6:K15)</f>
        <v>1112.8029234123312</v>
      </c>
      <c r="L16" s="23">
        <f>SUM(L6:L15)</f>
        <v>1099.7279284524539</v>
      </c>
      <c r="M16" s="23">
        <f>SUM(M6:M15)</f>
        <v>13.074994959877046</v>
      </c>
    </row>
    <row r="17" spans="1:13" ht="20" customHeight="1" x14ac:dyDescent="0.2">
      <c r="A17" s="10" t="s">
        <v>37</v>
      </c>
      <c r="B17" s="12">
        <v>1174.5207945909367</v>
      </c>
      <c r="C17" s="12">
        <v>1172.4108459528779</v>
      </c>
      <c r="D17" s="12">
        <v>2.1099486380587678</v>
      </c>
    </row>
    <row r="18" spans="1:13" ht="20" customHeight="1" x14ac:dyDescent="0.2">
      <c r="A18" s="24" t="s">
        <v>38</v>
      </c>
      <c r="B18" s="25">
        <v>1112.8029234123312</v>
      </c>
      <c r="C18" s="25">
        <v>1099.7279284524539</v>
      </c>
      <c r="D18" s="25">
        <v>13.074994959877358</v>
      </c>
      <c r="F18" s="28" t="s">
        <v>39</v>
      </c>
      <c r="G18" s="29"/>
      <c r="H18" s="29"/>
      <c r="I18" s="29"/>
      <c r="J18" s="29"/>
      <c r="K18" s="29"/>
      <c r="L18" s="29"/>
      <c r="M18" s="29"/>
    </row>
    <row r="19" spans="1:13" ht="20" customHeight="1" x14ac:dyDescent="0.2">
      <c r="A19" s="10" t="s">
        <v>40</v>
      </c>
      <c r="B19" s="12">
        <v>1055.7150382560501</v>
      </c>
      <c r="C19" s="12">
        <v>1032.9281438416124</v>
      </c>
      <c r="D19" s="12">
        <v>22.786894414437711</v>
      </c>
      <c r="F19" s="26" t="s">
        <v>41</v>
      </c>
      <c r="G19" s="27"/>
      <c r="H19" s="27"/>
      <c r="I19" s="27"/>
      <c r="J19" s="27"/>
      <c r="K19" s="27"/>
      <c r="L19" s="27"/>
      <c r="M19" s="27"/>
    </row>
    <row r="20" spans="1:13" ht="20" customHeight="1" x14ac:dyDescent="0.2">
      <c r="A20" s="7" t="s">
        <v>42</v>
      </c>
      <c r="B20" s="9">
        <v>1002.8392722569388</v>
      </c>
      <c r="C20" s="9">
        <v>971.45872576323995</v>
      </c>
      <c r="D20" s="9">
        <v>31.38054649369883</v>
      </c>
      <c r="F20" s="26" t="s">
        <v>43</v>
      </c>
      <c r="G20" s="27"/>
      <c r="H20" s="27"/>
      <c r="I20" s="27"/>
      <c r="J20" s="27"/>
      <c r="K20" s="27"/>
      <c r="L20" s="27"/>
      <c r="M20" s="27"/>
    </row>
  </sheetData>
  <mergeCells count="8">
    <mergeCell ref="A1:M1"/>
    <mergeCell ref="A4:D4"/>
    <mergeCell ref="F19:M19"/>
    <mergeCell ref="F20:M20"/>
    <mergeCell ref="F18:M18"/>
    <mergeCell ref="A2:M2"/>
    <mergeCell ref="F4:M4"/>
    <mergeCell ref="A8:D8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ALM_Stress_Test</vt:lpstr>
      <vt:lpstr>Asset_PV_Sum</vt:lpstr>
      <vt:lpstr>Liability_PV_Sum</vt:lpstr>
      <vt:lpstr>Net_Surplus</vt:lpstr>
      <vt:lpstr>ShockInput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Joowon Moon</cp:lastModifiedBy>
  <dcterms:created xsi:type="dcterms:W3CDTF">2026-10-22T19:15:27Z</dcterms:created>
  <dcterms:modified xsi:type="dcterms:W3CDTF">2026-10-22T20:03:05Z</dcterms:modified>
</cp:coreProperties>
</file>